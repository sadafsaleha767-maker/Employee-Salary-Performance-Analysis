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6815" windowHeight="7650" activeTab="1"/>
  </bookViews>
  <sheets>
    <sheet name="Raw data" sheetId="1" r:id="rId1"/>
    <sheet name="Analysis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J4" i="2"/>
  <c r="J5" i="2"/>
  <c r="J6" i="2"/>
  <c r="J7" i="2"/>
  <c r="J3" i="2"/>
  <c r="I4" i="2"/>
  <c r="I5" i="2"/>
  <c r="I6" i="2"/>
  <c r="I7" i="2"/>
  <c r="I3" i="2"/>
  <c r="H4" i="2"/>
  <c r="H5" i="2"/>
  <c r="H6" i="2"/>
  <c r="H7" i="2"/>
  <c r="H3" i="2"/>
  <c r="G4" i="2"/>
  <c r="G5" i="2"/>
  <c r="G6" i="2"/>
  <c r="G7" i="2"/>
  <c r="G3" i="2"/>
  <c r="F4" i="2"/>
  <c r="F5" i="2"/>
  <c r="F6" i="2"/>
  <c r="F7" i="2"/>
  <c r="F3" i="2"/>
  <c r="E4" i="2"/>
  <c r="E5" i="2"/>
  <c r="K5" i="2" s="1"/>
  <c r="E6" i="2"/>
  <c r="K6" i="2" s="1"/>
  <c r="E7" i="2"/>
  <c r="K7" i="2" s="1"/>
  <c r="B10" i="2"/>
  <c r="B9" i="2"/>
  <c r="B8" i="2"/>
  <c r="B7" i="2"/>
  <c r="B6" i="2"/>
  <c r="B5" i="2"/>
  <c r="B4" i="2"/>
  <c r="B3" i="2"/>
  <c r="B2" i="2"/>
  <c r="K4" i="2" l="1"/>
  <c r="K3" i="2"/>
</calcChain>
</file>

<file path=xl/sharedStrings.xml><?xml version="1.0" encoding="utf-8"?>
<sst xmlns="http://schemas.openxmlformats.org/spreadsheetml/2006/main" count="170" uniqueCount="99">
  <si>
    <t>Employee ID</t>
  </si>
  <si>
    <t>Name</t>
  </si>
  <si>
    <t>Department</t>
  </si>
  <si>
    <t>Job Role</t>
  </si>
  <si>
    <t>Age</t>
  </si>
  <si>
    <t>Gender</t>
  </si>
  <si>
    <t>Experience (Years)</t>
  </si>
  <si>
    <t>Monthly Salary</t>
  </si>
  <si>
    <t>Performance Score</t>
  </si>
  <si>
    <t>Working Hours</t>
  </si>
  <si>
    <t>Joining Year</t>
  </si>
  <si>
    <t>City</t>
  </si>
  <si>
    <t>E001</t>
  </si>
  <si>
    <t>Aarav Sharma</t>
  </si>
  <si>
    <t>Sales</t>
  </si>
  <si>
    <t>Sales Executive</t>
  </si>
  <si>
    <t>Male</t>
  </si>
  <si>
    <t>Pune</t>
  </si>
  <si>
    <t>E002</t>
  </si>
  <si>
    <t>Priya Patel</t>
  </si>
  <si>
    <t>HR</t>
  </si>
  <si>
    <t>HR Executive</t>
  </si>
  <si>
    <t>Female</t>
  </si>
  <si>
    <t>Mumbai</t>
  </si>
  <si>
    <t>E003</t>
  </si>
  <si>
    <t>Rahul Verma</t>
  </si>
  <si>
    <t>IT</t>
  </si>
  <si>
    <t>Software Developer</t>
  </si>
  <si>
    <t>Nagpur</t>
  </si>
  <si>
    <t>E004</t>
  </si>
  <si>
    <t>Sana Khan</t>
  </si>
  <si>
    <t>Finance</t>
  </si>
  <si>
    <t>Accountant</t>
  </si>
  <si>
    <t>E005</t>
  </si>
  <si>
    <t>Aditya Joshi</t>
  </si>
  <si>
    <t>Marketing</t>
  </si>
  <si>
    <t>Marketing Executive</t>
  </si>
  <si>
    <t>E006</t>
  </si>
  <si>
    <t>Neha Singh</t>
  </si>
  <si>
    <t>Data Analyst</t>
  </si>
  <si>
    <t>Bengaluru</t>
  </si>
  <si>
    <t>E007</t>
  </si>
  <si>
    <t>Imran Sheikh</t>
  </si>
  <si>
    <t>E008</t>
  </si>
  <si>
    <t>Kavya Rao</t>
  </si>
  <si>
    <t>Recruiter</t>
  </si>
  <si>
    <t>E009</t>
  </si>
  <si>
    <t>Rohan Gupta</t>
  </si>
  <si>
    <t>E010</t>
  </si>
  <si>
    <t>Fatima Ali</t>
  </si>
  <si>
    <t>Financial Analyst</t>
  </si>
  <si>
    <t>E011</t>
  </si>
  <si>
    <t>Vivek Mehta</t>
  </si>
  <si>
    <t>Marketing Manager</t>
  </si>
  <si>
    <t>E012</t>
  </si>
  <si>
    <t>Anjali Deshmukh</t>
  </si>
  <si>
    <t>HR Manager</t>
  </si>
  <si>
    <t>E013</t>
  </si>
  <si>
    <t>Arjun Kapoor</t>
  </si>
  <si>
    <t>E014</t>
  </si>
  <si>
    <t>Meera Shah</t>
  </si>
  <si>
    <t>E015</t>
  </si>
  <si>
    <t>Danish Khan</t>
  </si>
  <si>
    <t>Sales Manager</t>
  </si>
  <si>
    <t>E016</t>
  </si>
  <si>
    <t>Riya Nair</t>
  </si>
  <si>
    <t>E017</t>
  </si>
  <si>
    <t>Manish Yadav</t>
  </si>
  <si>
    <t>E018</t>
  </si>
  <si>
    <t>Ayesha Khan</t>
  </si>
  <si>
    <t>E019</t>
  </si>
  <si>
    <t>Raj Malhotra</t>
  </si>
  <si>
    <t>E020</t>
  </si>
  <si>
    <t>Pooja Sharma</t>
  </si>
  <si>
    <t>Total Employees</t>
  </si>
  <si>
    <t>Average Monthly Salary</t>
  </si>
  <si>
    <t>Average Performance Score</t>
  </si>
  <si>
    <t>Total Monthly Salary Expense</t>
  </si>
  <si>
    <t>Average Experience</t>
  </si>
  <si>
    <t>Highest Monthly Salary</t>
  </si>
  <si>
    <t>Lowest Monthly Salary</t>
  </si>
  <si>
    <t>Highest Performance Score</t>
  </si>
  <si>
    <t>Lowest Performance Score</t>
  </si>
  <si>
    <t>Employee Count</t>
  </si>
  <si>
    <t>Average Salary</t>
  </si>
  <si>
    <t>Average Performance</t>
  </si>
  <si>
    <t>Maximum Salary</t>
  </si>
  <si>
    <t>Minimum Salary</t>
  </si>
  <si>
    <t>Employee %</t>
  </si>
  <si>
    <t>Employees Analysis</t>
  </si>
  <si>
    <t>Key Business Insights</t>
  </si>
  <si>
    <t>1. Employee Distribution</t>
  </si>
  <si>
    <t>4. Experience Analysis</t>
  </si>
  <si>
    <t>2. Salary Analysis</t>
  </si>
  <si>
    <t>3. Performance Analysis</t>
  </si>
  <si>
    <t>IT has the highest employee count with 5 employees.</t>
  </si>
  <si>
    <t>IT has the highest average salary of 59,200.</t>
  </si>
  <si>
    <t>IT has the highest average performance score of 90.4.</t>
  </si>
  <si>
    <t>Marketing has the highest average experience of 7.25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</si>
</sst>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1" applyNumberFormat="1" applyFont="1" applyAlignment="1">
      <alignment vertical="center" wrapText="1"/>
    </xf>
    <xf numFmtId="0" fontId="0" fillId="0" borderId="0" xfId="1" applyNumberFormat="1" applyFont="1"/>
    <xf numFmtId="0" fontId="0" fillId="0" borderId="0" xfId="0" applyAlignment="1">
      <alignment horizontal="center" vertical="center"/>
    </xf>
    <xf numFmtId="0" fontId="3" fillId="0" borderId="0" xfId="0" applyFont="1"/>
    <xf numFmtId="9" fontId="0" fillId="0" borderId="0" xfId="2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top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'!$E$2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'!$D$3:$D$7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Marketing</c:v>
                </c:pt>
              </c:strCache>
            </c:strRef>
          </c:cat>
          <c:val>
            <c:numRef>
              <c:f>'Analysis '!$E$3:$E$7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5-4D6B-A3EC-6708FA547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9871695"/>
        <c:axId val="1839865871"/>
      </c:barChart>
      <c:catAx>
        <c:axId val="183987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65871"/>
        <c:crosses val="autoZero"/>
        <c:auto val="1"/>
        <c:lblAlgn val="ctr"/>
        <c:lblOffset val="100"/>
        <c:noMultiLvlLbl val="0"/>
      </c:catAx>
      <c:valAx>
        <c:axId val="18398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7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'!$G$2</c:f>
              <c:strCache>
                <c:ptCount val="1"/>
                <c:pt idx="0">
                  <c:v>Average 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'!$D$3:$D$7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Marketing</c:v>
                </c:pt>
              </c:strCache>
            </c:strRef>
          </c:cat>
          <c:val>
            <c:numRef>
              <c:f>'Analysis '!$G$3:$G$7</c:f>
              <c:numCache>
                <c:formatCode>General</c:formatCode>
                <c:ptCount val="5"/>
                <c:pt idx="0">
                  <c:v>84.333333333333329</c:v>
                </c:pt>
                <c:pt idx="1">
                  <c:v>86.5</c:v>
                </c:pt>
                <c:pt idx="2">
                  <c:v>90.4</c:v>
                </c:pt>
                <c:pt idx="3">
                  <c:v>88.5</c:v>
                </c:pt>
                <c:pt idx="4">
                  <c:v>85.75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5-47C3-A5B4-A835A427C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150287"/>
        <c:axId val="1065155695"/>
      </c:barChart>
      <c:catAx>
        <c:axId val="10651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55695"/>
        <c:crosses val="autoZero"/>
        <c:auto val="1"/>
        <c:lblAlgn val="ctr"/>
        <c:lblOffset val="100"/>
        <c:noMultiLvlLbl val="0"/>
      </c:catAx>
      <c:valAx>
        <c:axId val="10651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5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'!$G$9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'!$F$10:$F$13</c:f>
              <c:strCache>
                <c:ptCount val="4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  <c:pt idx="3">
                  <c:v>Marketing</c:v>
                </c:pt>
              </c:strCache>
            </c:strRef>
          </c:cat>
          <c:val>
            <c:numRef>
              <c:f>'Analysis '!$G$10:$G$13</c:f>
              <c:numCache>
                <c:formatCode>General</c:formatCode>
                <c:ptCount val="4"/>
                <c:pt idx="0">
                  <c:v>50000</c:v>
                </c:pt>
                <c:pt idx="1">
                  <c:v>50250</c:v>
                </c:pt>
                <c:pt idx="2">
                  <c:v>56000</c:v>
                </c:pt>
                <c:pt idx="3">
                  <c:v>54750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D-4527-B8B7-619F1C91A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357375"/>
        <c:axId val="1065145295"/>
      </c:barChart>
      <c:catAx>
        <c:axId val="11253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45295"/>
        <c:crosses val="autoZero"/>
        <c:auto val="1"/>
        <c:lblAlgn val="ctr"/>
        <c:lblOffset val="100"/>
        <c:noMultiLvlLbl val="0"/>
      </c:catAx>
      <c:valAx>
        <c:axId val="106514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5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200479</xdr:colOff>
      <xdr:row>7</xdr:row>
      <xdr:rowOff>172358</xdr:rowOff>
    </xdr:from>
    <xdr:to>
      <xdr:col>5</xdr:col>
      <xdr:colOff>27214</xdr:colOff>
      <xdr:row>17</xdr:row>
      <xdr:rowOff>49894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408214</xdr:colOff>
      <xdr:row>7</xdr:row>
      <xdr:rowOff>177799</xdr:rowOff>
    </xdr:from>
    <xdr:to>
      <xdr:col>11</xdr:col>
      <xdr:colOff>46719</xdr:colOff>
      <xdr:row>17</xdr:row>
      <xdr:rowOff>54429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18144</xdr:colOff>
      <xdr:row>7</xdr:row>
      <xdr:rowOff>181428</xdr:rowOff>
    </xdr:from>
    <xdr:to>
      <xdr:col>7</xdr:col>
      <xdr:colOff>408215</xdr:colOff>
      <xdr:row>17</xdr:row>
      <xdr:rowOff>54429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mployeeData" displayName="EmployeeData" ref="A1:L21" totalsRowShown="0">
  <autoFilter ref="A1:L21"/>
  <tableColumns count="12">
    <tableColumn id="1" name="Employee ID"/>
    <tableColumn id="2" name="Name"/>
    <tableColumn id="3" name="Department"/>
    <tableColumn id="4" name="Job Role"/>
    <tableColumn id="5" name="Age"/>
    <tableColumn id="6" name="Gender"/>
    <tableColumn id="7" name="Experience (Years)"/>
    <tableColumn id="8" name="Monthly Salary" dataDxfId="1" dataCellStyle="Currency"/>
    <tableColumn id="9" name="Performance Score"/>
    <tableColumn id="10" name="Working Hours"/>
    <tableColumn id="11" name="Joining Year"/>
    <tableColumn id="12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sqref="A1:L21"/>
    </sheetView>
  </sheetViews>
  <sheetFormatPr defaultRowHeight="15" x14ac:dyDescent="0.25"/>
  <cols>
    <col min="1" max="1" width="14.28515625" customWidth="1"/>
    <col min="2" max="2" width="16" customWidth="1"/>
    <col min="3" max="3" width="13.85546875" customWidth="1"/>
    <col min="4" max="4" width="22" customWidth="1"/>
    <col min="6" max="6" width="9.85546875" customWidth="1"/>
    <col min="7" max="7" width="19.7109375" customWidth="1"/>
    <col min="8" max="8" width="16.42578125" customWidth="1"/>
    <col min="9" max="9" width="19.85546875" customWidth="1"/>
    <col min="10" max="10" width="16.28515625" customWidth="1"/>
    <col min="11" max="11" width="13.85546875" customWidth="1"/>
    <col min="12" max="12" width="11.14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  <c r="G1" s="1" t="s">
        <v>6</v>
      </c>
      <c r="H1" s="5" t="s">
        <v>7</v>
      </c>
      <c r="I1" s="2" t="s">
        <v>8</v>
      </c>
      <c r="J1" s="1" t="s">
        <v>9</v>
      </c>
      <c r="K1" s="4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28</v>
      </c>
      <c r="F2" t="s">
        <v>16</v>
      </c>
      <c r="G2">
        <v>3</v>
      </c>
      <c r="H2" s="6">
        <v>32000</v>
      </c>
      <c r="I2">
        <v>78</v>
      </c>
      <c r="J2">
        <v>42</v>
      </c>
      <c r="K2">
        <v>2022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>
        <v>31</v>
      </c>
      <c r="F3" t="s">
        <v>22</v>
      </c>
      <c r="G3">
        <v>6</v>
      </c>
      <c r="H3" s="6">
        <v>45000</v>
      </c>
      <c r="I3">
        <v>85</v>
      </c>
      <c r="J3">
        <v>40</v>
      </c>
      <c r="K3">
        <v>2019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>
        <v>26</v>
      </c>
      <c r="F4" t="s">
        <v>16</v>
      </c>
      <c r="G4">
        <v>2</v>
      </c>
      <c r="H4" s="6">
        <v>52000</v>
      </c>
      <c r="I4">
        <v>88</v>
      </c>
      <c r="J4">
        <v>45</v>
      </c>
      <c r="K4">
        <v>2023</v>
      </c>
      <c r="L4" t="s">
        <v>28</v>
      </c>
    </row>
    <row r="5" spans="1:12" x14ac:dyDescent="0.25">
      <c r="A5" t="s">
        <v>29</v>
      </c>
      <c r="B5" t="s">
        <v>30</v>
      </c>
      <c r="C5" t="s">
        <v>31</v>
      </c>
      <c r="D5" t="s">
        <v>32</v>
      </c>
      <c r="E5">
        <v>35</v>
      </c>
      <c r="F5" t="s">
        <v>22</v>
      </c>
      <c r="G5">
        <v>9</v>
      </c>
      <c r="H5" s="6">
        <v>58000</v>
      </c>
      <c r="I5">
        <v>91</v>
      </c>
      <c r="J5">
        <v>41</v>
      </c>
      <c r="K5">
        <v>2017</v>
      </c>
      <c r="L5" t="s">
        <v>17</v>
      </c>
    </row>
    <row r="6" spans="1:12" x14ac:dyDescent="0.25">
      <c r="A6" t="s">
        <v>33</v>
      </c>
      <c r="B6" t="s">
        <v>34</v>
      </c>
      <c r="C6" t="s">
        <v>35</v>
      </c>
      <c r="D6" t="s">
        <v>36</v>
      </c>
      <c r="E6">
        <v>29</v>
      </c>
      <c r="F6" t="s">
        <v>16</v>
      </c>
      <c r="G6">
        <v>4</v>
      </c>
      <c r="H6" s="6">
        <v>41000</v>
      </c>
      <c r="I6">
        <v>76</v>
      </c>
      <c r="J6">
        <v>44</v>
      </c>
      <c r="K6">
        <v>2021</v>
      </c>
      <c r="L6" t="s">
        <v>23</v>
      </c>
    </row>
    <row r="7" spans="1:12" x14ac:dyDescent="0.25">
      <c r="A7" t="s">
        <v>37</v>
      </c>
      <c r="B7" t="s">
        <v>38</v>
      </c>
      <c r="C7" t="s">
        <v>26</v>
      </c>
      <c r="D7" t="s">
        <v>39</v>
      </c>
      <c r="E7">
        <v>27</v>
      </c>
      <c r="F7" t="s">
        <v>22</v>
      </c>
      <c r="G7">
        <v>3</v>
      </c>
      <c r="H7" s="6">
        <v>50000</v>
      </c>
      <c r="I7">
        <v>92</v>
      </c>
      <c r="J7">
        <v>43</v>
      </c>
      <c r="K7">
        <v>2022</v>
      </c>
      <c r="L7" t="s">
        <v>40</v>
      </c>
    </row>
    <row r="8" spans="1:12" x14ac:dyDescent="0.25">
      <c r="A8" t="s">
        <v>41</v>
      </c>
      <c r="B8" t="s">
        <v>42</v>
      </c>
      <c r="C8" t="s">
        <v>14</v>
      </c>
      <c r="D8" t="s">
        <v>15</v>
      </c>
      <c r="E8">
        <v>33</v>
      </c>
      <c r="F8" t="s">
        <v>16</v>
      </c>
      <c r="G8">
        <v>7</v>
      </c>
      <c r="H8" s="6">
        <v>48000</v>
      </c>
      <c r="I8">
        <v>82</v>
      </c>
      <c r="J8">
        <v>46</v>
      </c>
      <c r="K8">
        <v>2019</v>
      </c>
      <c r="L8" t="s">
        <v>28</v>
      </c>
    </row>
    <row r="9" spans="1:12" x14ac:dyDescent="0.25">
      <c r="A9" t="s">
        <v>43</v>
      </c>
      <c r="B9" t="s">
        <v>44</v>
      </c>
      <c r="C9" t="s">
        <v>20</v>
      </c>
      <c r="D9" t="s">
        <v>45</v>
      </c>
      <c r="E9">
        <v>25</v>
      </c>
      <c r="F9" t="s">
        <v>22</v>
      </c>
      <c r="G9">
        <v>2</v>
      </c>
      <c r="H9" s="6">
        <v>36000</v>
      </c>
      <c r="I9">
        <v>79</v>
      </c>
      <c r="J9">
        <v>40</v>
      </c>
      <c r="K9">
        <v>2023</v>
      </c>
      <c r="L9" t="s">
        <v>17</v>
      </c>
    </row>
    <row r="10" spans="1:12" x14ac:dyDescent="0.25">
      <c r="A10" t="s">
        <v>46</v>
      </c>
      <c r="B10" t="s">
        <v>47</v>
      </c>
      <c r="C10" t="s">
        <v>26</v>
      </c>
      <c r="D10" t="s">
        <v>27</v>
      </c>
      <c r="E10">
        <v>30</v>
      </c>
      <c r="F10" t="s">
        <v>16</v>
      </c>
      <c r="G10">
        <v>5</v>
      </c>
      <c r="H10" s="6">
        <v>65000</v>
      </c>
      <c r="I10">
        <v>95</v>
      </c>
      <c r="J10">
        <v>44</v>
      </c>
      <c r="K10">
        <v>2020</v>
      </c>
      <c r="L10" t="s">
        <v>40</v>
      </c>
    </row>
    <row r="11" spans="1:12" x14ac:dyDescent="0.25">
      <c r="A11" t="s">
        <v>48</v>
      </c>
      <c r="B11" t="s">
        <v>49</v>
      </c>
      <c r="C11" t="s">
        <v>31</v>
      </c>
      <c r="D11" t="s">
        <v>50</v>
      </c>
      <c r="E11">
        <v>28</v>
      </c>
      <c r="F11" t="s">
        <v>22</v>
      </c>
      <c r="G11">
        <v>4</v>
      </c>
      <c r="H11" s="6">
        <v>55000</v>
      </c>
      <c r="I11">
        <v>89</v>
      </c>
      <c r="J11">
        <v>42</v>
      </c>
      <c r="K11">
        <v>2021</v>
      </c>
      <c r="L11" t="s">
        <v>23</v>
      </c>
    </row>
    <row r="12" spans="1:12" x14ac:dyDescent="0.25">
      <c r="A12" t="s">
        <v>51</v>
      </c>
      <c r="B12" t="s">
        <v>52</v>
      </c>
      <c r="C12" t="s">
        <v>35</v>
      </c>
      <c r="D12" t="s">
        <v>53</v>
      </c>
      <c r="E12">
        <v>38</v>
      </c>
      <c r="F12" t="s">
        <v>16</v>
      </c>
      <c r="G12">
        <v>12</v>
      </c>
      <c r="H12" s="6">
        <v>72000</v>
      </c>
      <c r="I12">
        <v>94</v>
      </c>
      <c r="J12">
        <v>45</v>
      </c>
      <c r="K12">
        <v>2014</v>
      </c>
      <c r="L12" t="s">
        <v>17</v>
      </c>
    </row>
    <row r="13" spans="1:12" x14ac:dyDescent="0.25">
      <c r="A13" t="s">
        <v>54</v>
      </c>
      <c r="B13" t="s">
        <v>55</v>
      </c>
      <c r="C13" t="s">
        <v>20</v>
      </c>
      <c r="D13" t="s">
        <v>56</v>
      </c>
      <c r="E13">
        <v>40</v>
      </c>
      <c r="F13" t="s">
        <v>22</v>
      </c>
      <c r="G13">
        <v>14</v>
      </c>
      <c r="H13" s="6">
        <v>78000</v>
      </c>
      <c r="I13">
        <v>96</v>
      </c>
      <c r="J13">
        <v>39</v>
      </c>
      <c r="K13">
        <v>2012</v>
      </c>
      <c r="L13" t="s">
        <v>28</v>
      </c>
    </row>
    <row r="14" spans="1:12" x14ac:dyDescent="0.25">
      <c r="A14" t="s">
        <v>57</v>
      </c>
      <c r="B14" t="s">
        <v>58</v>
      </c>
      <c r="C14" t="s">
        <v>26</v>
      </c>
      <c r="D14" t="s">
        <v>39</v>
      </c>
      <c r="E14">
        <v>32</v>
      </c>
      <c r="F14" t="s">
        <v>16</v>
      </c>
      <c r="G14">
        <v>7</v>
      </c>
      <c r="H14" s="6">
        <v>68000</v>
      </c>
      <c r="I14">
        <v>90</v>
      </c>
      <c r="J14">
        <v>42</v>
      </c>
      <c r="K14">
        <v>2018</v>
      </c>
      <c r="L14" t="s">
        <v>40</v>
      </c>
    </row>
    <row r="15" spans="1:12" x14ac:dyDescent="0.25">
      <c r="A15" t="s">
        <v>59</v>
      </c>
      <c r="B15" t="s">
        <v>60</v>
      </c>
      <c r="C15" t="s">
        <v>31</v>
      </c>
      <c r="D15" t="s">
        <v>32</v>
      </c>
      <c r="E15">
        <v>30</v>
      </c>
      <c r="F15" t="s">
        <v>22</v>
      </c>
      <c r="G15">
        <v>5</v>
      </c>
      <c r="H15" s="6">
        <v>49000</v>
      </c>
      <c r="I15">
        <v>84</v>
      </c>
      <c r="J15">
        <v>41</v>
      </c>
      <c r="K15">
        <v>2020</v>
      </c>
      <c r="L15" t="s">
        <v>17</v>
      </c>
    </row>
    <row r="16" spans="1:12" x14ac:dyDescent="0.25">
      <c r="A16" t="s">
        <v>61</v>
      </c>
      <c r="B16" t="s">
        <v>62</v>
      </c>
      <c r="C16" t="s">
        <v>14</v>
      </c>
      <c r="D16" t="s">
        <v>63</v>
      </c>
      <c r="E16">
        <v>37</v>
      </c>
      <c r="F16" t="s">
        <v>16</v>
      </c>
      <c r="G16">
        <v>11</v>
      </c>
      <c r="H16" s="6">
        <v>70000</v>
      </c>
      <c r="I16">
        <v>93</v>
      </c>
      <c r="J16">
        <v>47</v>
      </c>
      <c r="K16">
        <v>2015</v>
      </c>
      <c r="L16" t="s">
        <v>23</v>
      </c>
    </row>
    <row r="17" spans="1:12" x14ac:dyDescent="0.25">
      <c r="A17" t="s">
        <v>64</v>
      </c>
      <c r="B17" t="s">
        <v>65</v>
      </c>
      <c r="C17" t="s">
        <v>35</v>
      </c>
      <c r="D17" t="s">
        <v>36</v>
      </c>
      <c r="E17">
        <v>26</v>
      </c>
      <c r="F17" t="s">
        <v>22</v>
      </c>
      <c r="G17">
        <v>3</v>
      </c>
      <c r="H17" s="6">
        <v>39000</v>
      </c>
      <c r="I17">
        <v>81</v>
      </c>
      <c r="J17">
        <v>43</v>
      </c>
      <c r="K17">
        <v>2022</v>
      </c>
      <c r="L17" t="s">
        <v>40</v>
      </c>
    </row>
    <row r="18" spans="1:12" x14ac:dyDescent="0.25">
      <c r="A18" t="s">
        <v>66</v>
      </c>
      <c r="B18" t="s">
        <v>67</v>
      </c>
      <c r="C18" t="s">
        <v>26</v>
      </c>
      <c r="D18" t="s">
        <v>27</v>
      </c>
      <c r="E18">
        <v>29</v>
      </c>
      <c r="F18" t="s">
        <v>16</v>
      </c>
      <c r="G18">
        <v>5</v>
      </c>
      <c r="H18" s="6">
        <v>61000</v>
      </c>
      <c r="I18">
        <v>87</v>
      </c>
      <c r="J18">
        <v>45</v>
      </c>
      <c r="K18">
        <v>2020</v>
      </c>
      <c r="L18" t="s">
        <v>28</v>
      </c>
    </row>
    <row r="19" spans="1:12" x14ac:dyDescent="0.25">
      <c r="A19" t="s">
        <v>68</v>
      </c>
      <c r="B19" t="s">
        <v>69</v>
      </c>
      <c r="C19" t="s">
        <v>20</v>
      </c>
      <c r="D19" t="s">
        <v>45</v>
      </c>
      <c r="E19">
        <v>27</v>
      </c>
      <c r="F19" t="s">
        <v>22</v>
      </c>
      <c r="G19">
        <v>4</v>
      </c>
      <c r="H19" s="6">
        <v>42000</v>
      </c>
      <c r="I19">
        <v>86</v>
      </c>
      <c r="J19">
        <v>40</v>
      </c>
      <c r="K19">
        <v>2021</v>
      </c>
      <c r="L19" t="s">
        <v>23</v>
      </c>
    </row>
    <row r="20" spans="1:12" x14ac:dyDescent="0.25">
      <c r="A20" t="s">
        <v>70</v>
      </c>
      <c r="B20" t="s">
        <v>71</v>
      </c>
      <c r="C20" t="s">
        <v>31</v>
      </c>
      <c r="D20" t="s">
        <v>50</v>
      </c>
      <c r="E20">
        <v>34</v>
      </c>
      <c r="F20" t="s">
        <v>16</v>
      </c>
      <c r="G20">
        <v>8</v>
      </c>
      <c r="H20" s="6">
        <v>62000</v>
      </c>
      <c r="I20">
        <v>90</v>
      </c>
      <c r="J20">
        <v>42</v>
      </c>
      <c r="K20">
        <v>2018</v>
      </c>
      <c r="L20" t="s">
        <v>17</v>
      </c>
    </row>
    <row r="21" spans="1:12" x14ac:dyDescent="0.25">
      <c r="A21" t="s">
        <v>72</v>
      </c>
      <c r="B21" t="s">
        <v>73</v>
      </c>
      <c r="C21" t="s">
        <v>35</v>
      </c>
      <c r="D21" t="s">
        <v>53</v>
      </c>
      <c r="E21">
        <v>36</v>
      </c>
      <c r="F21" t="s">
        <v>22</v>
      </c>
      <c r="G21">
        <v>10</v>
      </c>
      <c r="H21" s="6">
        <v>67000</v>
      </c>
      <c r="I21">
        <v>92</v>
      </c>
      <c r="J21">
        <v>44</v>
      </c>
      <c r="K21">
        <v>2016</v>
      </c>
      <c r="L21" t="s">
        <v>40</v>
      </c>
    </row>
  </sheetData>
  <conditionalFormatting sqref="A1:A21">
    <cfRule type="duplicateValues" dxfId="0" priority="1"/>
  </conditionalFormatting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zoomScale="60" workbookViewId="0">
      <selection activeCell="D22" sqref="D22"/>
    </sheetView>
  </sheetViews>
  <sheetFormatPr defaultRowHeight="15" x14ac:dyDescent="0.25"/>
  <cols>
    <col min="1" max="1" width="34.42578125" customWidth="1"/>
    <col min="2" max="2" width="31.7109375" customWidth="1"/>
    <col min="4" max="4" width="13" customWidth="1"/>
    <col min="5" max="5" width="15.140625" customWidth="1"/>
    <col min="6" max="6" width="18.5703125" customWidth="1"/>
    <col min="7" max="7" width="16.7109375" customWidth="1"/>
    <col min="8" max="9" width="12.28515625" customWidth="1"/>
    <col min="10" max="10" width="12.140625" customWidth="1"/>
    <col min="11" max="11" width="15.85546875" customWidth="1"/>
  </cols>
  <sheetData>
    <row r="1" spans="1:14" ht="18.75" x14ac:dyDescent="0.25">
      <c r="A1" s="19" t="s">
        <v>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M1" s="4"/>
      <c r="N1" s="4"/>
    </row>
    <row r="2" spans="1:14" ht="31.5" x14ac:dyDescent="0.25">
      <c r="A2" s="10" t="s">
        <v>74</v>
      </c>
      <c r="B2" s="16">
        <f>COUNTA(EmployeeData[Employee ID])</f>
        <v>20</v>
      </c>
      <c r="C2" s="11"/>
      <c r="D2" s="17" t="s">
        <v>2</v>
      </c>
      <c r="E2" s="14" t="s">
        <v>83</v>
      </c>
      <c r="F2" s="21" t="s">
        <v>84</v>
      </c>
      <c r="G2" s="22" t="s">
        <v>85</v>
      </c>
      <c r="H2" s="18" t="s">
        <v>78</v>
      </c>
      <c r="I2" s="15" t="s">
        <v>86</v>
      </c>
      <c r="J2" s="15" t="s">
        <v>87</v>
      </c>
      <c r="K2" s="13" t="s">
        <v>88</v>
      </c>
      <c r="L2" s="13"/>
      <c r="M2" s="4"/>
      <c r="N2" s="4"/>
    </row>
    <row r="3" spans="1:14" x14ac:dyDescent="0.25">
      <c r="A3" s="10" t="s">
        <v>75</v>
      </c>
      <c r="B3">
        <f>AVERAGE(EmployeeData[Monthly Salary])</f>
        <v>54500</v>
      </c>
      <c r="D3" t="s">
        <v>14</v>
      </c>
      <c r="E3">
        <f>COUNTIF(EmployeeData[Department],D3)</f>
        <v>3</v>
      </c>
      <c r="F3">
        <f>AVERAGEIF(EmployeeData[Department],D3,EmployeeData[Monthly Salary])</f>
        <v>50000</v>
      </c>
      <c r="G3">
        <f>AVERAGEIF(EmployeeData[Department],D3,EmployeeData[Performance Score])</f>
        <v>84.333333333333329</v>
      </c>
      <c r="H3">
        <f>AVERAGEIF(EmployeeData[Department],D3,EmployeeData[Experience (Years)])</f>
        <v>7</v>
      </c>
      <c r="I3">
        <f>_xlfn.AGGREGATE(14,6,EmployeeData[Monthly Salary]/(EmployeeData[Department]=D3),1)</f>
        <v>70000</v>
      </c>
      <c r="J3">
        <f>_xlfn.AGGREGATE(15,6,EmployeeData[Monthly Salary]/(EmployeeData[Department]=D3),1)</f>
        <v>32000</v>
      </c>
      <c r="K3" s="9">
        <f>E3/$B$2</f>
        <v>0.15</v>
      </c>
      <c r="M3" s="4"/>
      <c r="N3" s="4"/>
    </row>
    <row r="4" spans="1:14" x14ac:dyDescent="0.25">
      <c r="A4" s="10" t="s">
        <v>76</v>
      </c>
      <c r="B4">
        <f>AVERAGE(EmployeeData[Performance Score])</f>
        <v>87.4</v>
      </c>
      <c r="D4" t="s">
        <v>20</v>
      </c>
      <c r="E4" s="8">
        <f>COUNTIF(EmployeeData[Department],D4)</f>
        <v>4</v>
      </c>
      <c r="F4">
        <f>AVERAGEIF(EmployeeData[Department],D4,EmployeeData[Monthly Salary])</f>
        <v>50250</v>
      </c>
      <c r="G4">
        <f>AVERAGEIF(EmployeeData[Department],D4,EmployeeData[Performance Score])</f>
        <v>86.5</v>
      </c>
      <c r="H4">
        <f>AVERAGEIF(EmployeeData[Department],D4,EmployeeData[Experience (Years)])</f>
        <v>6.5</v>
      </c>
      <c r="I4">
        <f>_xlfn.AGGREGATE(14,6,EmployeeData[Monthly Salary]/(EmployeeData[Department]=D4),1)</f>
        <v>78000</v>
      </c>
      <c r="J4">
        <f>_xlfn.AGGREGATE(15,6,EmployeeData[Monthly Salary]/(EmployeeData[Department]=D4),1)</f>
        <v>36000</v>
      </c>
      <c r="K4" s="9">
        <f>E4/$B$2</f>
        <v>0.2</v>
      </c>
      <c r="M4" s="4"/>
      <c r="N4" s="4"/>
    </row>
    <row r="5" spans="1:14" x14ac:dyDescent="0.25">
      <c r="A5" s="10" t="s">
        <v>77</v>
      </c>
      <c r="B5">
        <f>SUM(EmployeeData[Monthly Salary])</f>
        <v>1090000</v>
      </c>
      <c r="D5" t="s">
        <v>26</v>
      </c>
      <c r="E5" s="8">
        <f>COUNTIF(EmployeeData[Department],D5)</f>
        <v>5</v>
      </c>
      <c r="F5">
        <f>AVERAGEIF(EmployeeData[Department],D5,EmployeeData[Monthly Salary])</f>
        <v>59200</v>
      </c>
      <c r="G5">
        <f>AVERAGEIF(EmployeeData[Department],D5,EmployeeData[Performance Score])</f>
        <v>90.4</v>
      </c>
      <c r="H5">
        <f>AVERAGEIF(EmployeeData[Department],D5,EmployeeData[Experience (Years)])</f>
        <v>4.4000000000000004</v>
      </c>
      <c r="I5">
        <f>_xlfn.AGGREGATE(14,6,EmployeeData[Monthly Salary]/(EmployeeData[Department]=D5),1)</f>
        <v>68000</v>
      </c>
      <c r="J5">
        <f>_xlfn.AGGREGATE(15,6,EmployeeData[Monthly Salary]/(EmployeeData[Department]=D5),1)</f>
        <v>50000</v>
      </c>
      <c r="K5" s="9">
        <f>E5/$B$2</f>
        <v>0.25</v>
      </c>
      <c r="M5" s="4"/>
      <c r="N5" s="4"/>
    </row>
    <row r="6" spans="1:14" x14ac:dyDescent="0.25">
      <c r="A6" s="10" t="s">
        <v>78</v>
      </c>
      <c r="B6">
        <f>AVERAGE(EmployeeData[Experience (Years)])</f>
        <v>6.2</v>
      </c>
      <c r="D6" t="s">
        <v>31</v>
      </c>
      <c r="E6" s="8">
        <f>COUNTIF(EmployeeData[Department],D6)</f>
        <v>4</v>
      </c>
      <c r="F6">
        <f>AVERAGEIF(EmployeeData[Department],D6,EmployeeData[Monthly Salary])</f>
        <v>56000</v>
      </c>
      <c r="G6">
        <f>AVERAGEIF(EmployeeData[Department],D6,EmployeeData[Performance Score])</f>
        <v>88.5</v>
      </c>
      <c r="H6">
        <f>AVERAGEIF(EmployeeData[Department],D6,EmployeeData[Experience (Years)])</f>
        <v>6.5</v>
      </c>
      <c r="I6">
        <f>_xlfn.AGGREGATE(14,6,EmployeeData[Monthly Salary]/(EmployeeData[Department]=D6),1)</f>
        <v>62000</v>
      </c>
      <c r="J6">
        <f>_xlfn.AGGREGATE(15,6,EmployeeData[Monthly Salary]/(EmployeeData[Department]=D6),1)</f>
        <v>49000</v>
      </c>
      <c r="K6" s="9">
        <f>E6/$B$2</f>
        <v>0.2</v>
      </c>
      <c r="M6" s="4"/>
      <c r="N6" s="4"/>
    </row>
    <row r="7" spans="1:14" x14ac:dyDescent="0.25">
      <c r="A7" s="11" t="s">
        <v>79</v>
      </c>
      <c r="B7">
        <f>MAX(EmployeeData[Monthly Salary])</f>
        <v>78000</v>
      </c>
      <c r="D7" t="s">
        <v>35</v>
      </c>
      <c r="E7" s="8">
        <f>COUNTIF(EmployeeData[Department],D7)</f>
        <v>4</v>
      </c>
      <c r="F7">
        <f>AVERAGEIF(EmployeeData[Department],D7,EmployeeData[Monthly Salary])</f>
        <v>54750</v>
      </c>
      <c r="G7">
        <f>AVERAGEIF(EmployeeData[Department],D7,EmployeeData[Performance Score])</f>
        <v>85.75</v>
      </c>
      <c r="H7">
        <f>AVERAGEIF(EmployeeData[Department],D7,EmployeeData[Experience (Years)])</f>
        <v>7.25</v>
      </c>
      <c r="I7">
        <f>_xlfn.AGGREGATE(14,6,EmployeeData[Monthly Salary]/(EmployeeData[Department]=D7),1)</f>
        <v>72000</v>
      </c>
      <c r="J7">
        <f>_xlfn.AGGREGATE(15,6,EmployeeData[Monthly Salary]/(EmployeeData[Department]=D7),1)</f>
        <v>39000</v>
      </c>
      <c r="K7" s="9">
        <f>E7/$B$2</f>
        <v>0.2</v>
      </c>
    </row>
    <row r="8" spans="1:14" x14ac:dyDescent="0.25">
      <c r="A8" s="10" t="s">
        <v>80</v>
      </c>
      <c r="B8">
        <f>MIN(EmployeeData[Monthly Salary])</f>
        <v>32000</v>
      </c>
    </row>
    <row r="9" spans="1:14" x14ac:dyDescent="0.25">
      <c r="A9" s="10" t="s">
        <v>81</v>
      </c>
      <c r="B9">
        <f>MAX(EmployeeData[Performance Score])</f>
        <v>96</v>
      </c>
      <c r="F9" s="12" t="s">
        <v>2</v>
      </c>
      <c r="G9" s="12" t="s">
        <v>84</v>
      </c>
    </row>
    <row r="10" spans="1:14" x14ac:dyDescent="0.25">
      <c r="A10" s="11" t="s">
        <v>82</v>
      </c>
      <c r="B10">
        <f>MIN(EmployeeData[Performance Score])</f>
        <v>76</v>
      </c>
      <c r="F10" t="s">
        <v>14</v>
      </c>
      <c r="G10">
        <v>50000</v>
      </c>
    </row>
    <row r="11" spans="1:14" x14ac:dyDescent="0.25">
      <c r="F11" t="s">
        <v>20</v>
      </c>
      <c r="G11">
        <v>50250</v>
      </c>
    </row>
    <row r="12" spans="1:14" ht="18.75" customHeight="1" x14ac:dyDescent="0.3">
      <c r="A12" s="23" t="s">
        <v>90</v>
      </c>
      <c r="B12" s="1"/>
      <c r="F12" t="s">
        <v>31</v>
      </c>
      <c r="G12">
        <v>56000</v>
      </c>
    </row>
    <row r="13" spans="1:14" ht="30" x14ac:dyDescent="0.25">
      <c r="A13" s="25" t="s">
        <v>91</v>
      </c>
      <c r="B13" s="24" t="s">
        <v>95</v>
      </c>
      <c r="F13" t="s">
        <v>35</v>
      </c>
      <c r="G13">
        <v>54750</v>
      </c>
    </row>
    <row r="14" spans="1:14" ht="30" x14ac:dyDescent="0.25">
      <c r="A14" s="25" t="s">
        <v>93</v>
      </c>
      <c r="B14" s="2" t="s">
        <v>96</v>
      </c>
    </row>
    <row r="15" spans="1:14" ht="30" x14ac:dyDescent="0.25">
      <c r="A15" s="25" t="s">
        <v>94</v>
      </c>
      <c r="B15" s="4" t="s">
        <v>97</v>
      </c>
    </row>
    <row r="16" spans="1:14" ht="30" x14ac:dyDescent="0.25">
      <c r="A16" s="25" t="s">
        <v>92</v>
      </c>
      <c r="B16" s="4" t="s">
        <v>98</v>
      </c>
      <c r="C16" s="4"/>
    </row>
  </sheetData>
  <mergeCells count="1">
    <mergeCell ref="A1:K1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2026-09-16T12:29:03Z</dcterms:created>
  <dcterms:modified xsi:type="dcterms:W3CDTF">2026-09-19T09:59:23Z</dcterms:modified>
</cp:coreProperties>
</file>